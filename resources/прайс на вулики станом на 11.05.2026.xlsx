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Олена\Desktop\ФОП Вулики\прайси\"/>
    </mc:Choice>
  </mc:AlternateContent>
  <bookViews>
    <workbookView xWindow="0" yWindow="0" windowWidth="23016" windowHeight="90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0" i="1" l="1"/>
  <c r="E96" i="1"/>
  <c r="E93" i="1"/>
  <c r="E90" i="1"/>
  <c r="E85" i="1"/>
  <c r="E80" i="1"/>
  <c r="E76" i="1"/>
  <c r="E72" i="1"/>
  <c r="E67" i="1"/>
  <c r="E63" i="1"/>
  <c r="E60" i="1"/>
  <c r="E57" i="1"/>
  <c r="E52" i="1"/>
  <c r="E47" i="1"/>
  <c r="E43" i="1"/>
  <c r="E39" i="1"/>
  <c r="E34" i="1"/>
  <c r="E30" i="1"/>
  <c r="E27" i="1"/>
  <c r="E24" i="1"/>
  <c r="E19" i="1"/>
  <c r="E14" i="1"/>
  <c r="E10" i="1"/>
  <c r="E6" i="1"/>
</calcChain>
</file>

<file path=xl/sharedStrings.xml><?xml version="1.0" encoding="utf-8"?>
<sst xmlns="http://schemas.openxmlformats.org/spreadsheetml/2006/main" count="280" uniqueCount="75">
  <si>
    <t>Комплектація</t>
  </si>
  <si>
    <t>Найменування</t>
  </si>
  <si>
    <t>Вулик 8-рамковий</t>
  </si>
  <si>
    <t>8-рамковий</t>
  </si>
  <si>
    <t>Комплектація 1</t>
  </si>
  <si>
    <t>ДАХ 8</t>
  </si>
  <si>
    <t>шт</t>
  </si>
  <si>
    <t>ДНО в комплекті</t>
  </si>
  <si>
    <t>ДАХ 8 армований</t>
  </si>
  <si>
    <t>корпус 300 з кутиками</t>
  </si>
  <si>
    <t>ДНО 8 з льотковим загороджувачем</t>
  </si>
  <si>
    <t>корпус 145 з кутиками</t>
  </si>
  <si>
    <t>ДНО 8 в комплекті (сітка, засувка, льотковий загороджувач)</t>
  </si>
  <si>
    <t>Комплектація 2</t>
  </si>
  <si>
    <t>корпус 300/8 з кутиками</t>
  </si>
  <si>
    <t>корпус 145/8 з кутиками</t>
  </si>
  <si>
    <t>корпус 145/8 без кутиків</t>
  </si>
  <si>
    <t>годівниця 8 у комплекті</t>
  </si>
  <si>
    <t>Комплектація 3</t>
  </si>
  <si>
    <t>МПЗ 8 з кутиками</t>
  </si>
  <si>
    <t>МПЗ 8 без кутиків</t>
  </si>
  <si>
    <t>МЛП без профілю</t>
  </si>
  <si>
    <t>ВПЗ 8 з кутиками</t>
  </si>
  <si>
    <t>годівниця</t>
  </si>
  <si>
    <t>ВПЗ 8 без кутиків і профілю</t>
  </si>
  <si>
    <t>Комплектація 4</t>
  </si>
  <si>
    <t>ВЛП 8</t>
  </si>
  <si>
    <t>10-рамковий</t>
  </si>
  <si>
    <t>ДАХ 10</t>
  </si>
  <si>
    <t>ДАХ 10 армований</t>
  </si>
  <si>
    <t>ДНО 10 з льотковим загороджувачем</t>
  </si>
  <si>
    <t>Комплектація 5</t>
  </si>
  <si>
    <t>ДНО 10 в комплекті</t>
  </si>
  <si>
    <t>корпус 300/10 з кутиками</t>
  </si>
  <si>
    <t>корпус 300/10 без кутиків</t>
  </si>
  <si>
    <t>Комплектація 6</t>
  </si>
  <si>
    <t>корпус 145/10 з кутиками</t>
  </si>
  <si>
    <t>корпус 145/10 без кутиків</t>
  </si>
  <si>
    <t>годівниця 10 у комплекті</t>
  </si>
  <si>
    <t>Комплектація 7</t>
  </si>
  <si>
    <t>МПЗ 10 з кутиками</t>
  </si>
  <si>
    <t>МПЗ 10 без кутиків</t>
  </si>
  <si>
    <t>МЛП</t>
  </si>
  <si>
    <t>ВПЗ 10 з кутиками</t>
  </si>
  <si>
    <t>Комплектація 8</t>
  </si>
  <si>
    <t>ВПЗ 10 без кутиків</t>
  </si>
  <si>
    <t>ВЛП</t>
  </si>
  <si>
    <t>12-рамковий</t>
  </si>
  <si>
    <t>ДАХ 12</t>
  </si>
  <si>
    <t>Вулик 10-рамковий</t>
  </si>
  <si>
    <t>ДАХ 12 армований</t>
  </si>
  <si>
    <t>ДНО 12 з льотковим загороджувачем</t>
  </si>
  <si>
    <t>ДНО 12 в комплекті</t>
  </si>
  <si>
    <t>корпус 300/12 з кутиками</t>
  </si>
  <si>
    <t>корпус 300/12 без кутиків</t>
  </si>
  <si>
    <t>корпус 145/12 з кутиками</t>
  </si>
  <si>
    <t>корпус 145/12 без кутиків</t>
  </si>
  <si>
    <t>годівниця 12 у комплекті</t>
  </si>
  <si>
    <t>МПЗ 12 з кутиками</t>
  </si>
  <si>
    <t>МПЗ 12 без кутиків</t>
  </si>
  <si>
    <t>ВПЗ 12 з кутиками</t>
  </si>
  <si>
    <t>ВПЗ 12 без кутиків</t>
  </si>
  <si>
    <t>інше</t>
  </si>
  <si>
    <t>Заставна дошка 300</t>
  </si>
  <si>
    <t>Засувка 8</t>
  </si>
  <si>
    <t>Засувка 10</t>
  </si>
  <si>
    <t>Засувка 12</t>
  </si>
  <si>
    <t>Сітка Дно 8</t>
  </si>
  <si>
    <t>Сітка Дно 10</t>
  </si>
  <si>
    <t>Сітка Дно 12</t>
  </si>
  <si>
    <t>Перегородка на вулик 8</t>
  </si>
  <si>
    <t>Вулик 12-рамковий</t>
  </si>
  <si>
    <t xml:space="preserve"> ПРАЙС  на вулики та комплектуючі</t>
  </si>
  <si>
    <t>Ціна з 11.05.2026</t>
  </si>
  <si>
    <t>11.05.2026р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</si>
</sst>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wrapText="1"/>
    </xf>
    <xf numFmtId="0" fontId="2" fillId="0" borderId="0" xfId="0" applyFont="1"/>
    <xf numFmtId="0" fontId="3" fillId="0" borderId="1" xfId="0" applyFont="1" applyBorder="1"/>
    <xf numFmtId="2" fontId="0" fillId="0" borderId="1" xfId="0" applyNumberFormat="1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Fill="1" applyBorder="1"/>
    <xf numFmtId="0" fontId="0" fillId="0" borderId="13" xfId="0" applyFill="1" applyBorder="1"/>
    <xf numFmtId="0" fontId="0" fillId="0" borderId="15" xfId="0" applyFill="1" applyBorder="1"/>
    <xf numFmtId="0" fontId="3" fillId="0" borderId="5" xfId="0" applyFont="1" applyBorder="1"/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3" fillId="0" borderId="20" xfId="0" applyFont="1" applyBorder="1"/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03"/>
  <sheetViews>
    <sheetView tabSelected="1" workbookViewId="0">
      <selection activeCell="H5" sqref="H5"/>
    </sheetView>
  </sheetViews>
  <sheetFormatPr defaultRowHeight="14.4" x14ac:dyDescent="0.3"/>
  <cols>
    <col min="1" max="1" width="22.21875" customWidth="1"/>
    <col min="2" max="2" width="20.6640625" customWidth="1"/>
    <col min="3" max="3" width="5.33203125" style="1" customWidth="1"/>
    <col min="4" max="4" width="4.109375" customWidth="1"/>
    <col min="5" max="5" width="44.44140625" customWidth="1"/>
    <col min="9" max="9" width="34.21875" customWidth="1"/>
    <col min="10" max="10" width="11.44140625" style="2" customWidth="1"/>
  </cols>
  <sheetData>
    <row r="2" spans="1:10" ht="23.4" x14ac:dyDescent="0.45">
      <c r="A2" s="36" t="s">
        <v>72</v>
      </c>
      <c r="B2" s="36"/>
      <c r="C2" s="36"/>
      <c r="D2" s="36"/>
      <c r="E2" s="36"/>
      <c r="I2" s="24" t="s">
        <v>74</v>
      </c>
    </row>
    <row r="4" spans="1:10" ht="28.8" x14ac:dyDescent="0.3">
      <c r="B4" t="s">
        <v>0</v>
      </c>
      <c r="I4" s="3" t="s">
        <v>1</v>
      </c>
      <c r="J4" s="4" t="s">
        <v>73</v>
      </c>
    </row>
    <row r="5" spans="1:10" ht="21.6" thickBot="1" x14ac:dyDescent="0.45">
      <c r="A5" s="5" t="s">
        <v>2</v>
      </c>
      <c r="I5" s="6" t="s">
        <v>3</v>
      </c>
      <c r="J5" s="7"/>
    </row>
    <row r="6" spans="1:10" ht="12.6" customHeight="1" x14ac:dyDescent="0.3">
      <c r="A6" s="25" t="s">
        <v>4</v>
      </c>
      <c r="B6" s="8" t="s">
        <v>5</v>
      </c>
      <c r="C6" s="9">
        <v>1</v>
      </c>
      <c r="D6" s="8" t="s">
        <v>6</v>
      </c>
      <c r="E6" s="28">
        <f>J6+J9+J10+J11*2</f>
        <v>2607</v>
      </c>
      <c r="I6" s="10" t="s">
        <v>5</v>
      </c>
      <c r="J6" s="7">
        <v>466</v>
      </c>
    </row>
    <row r="7" spans="1:10" ht="12.6" customHeight="1" x14ac:dyDescent="0.3">
      <c r="A7" s="26"/>
      <c r="B7" s="3" t="s">
        <v>7</v>
      </c>
      <c r="C7" s="11">
        <v>1</v>
      </c>
      <c r="D7" s="3" t="s">
        <v>6</v>
      </c>
      <c r="E7" s="29"/>
      <c r="I7" s="10" t="s">
        <v>8</v>
      </c>
      <c r="J7" s="7">
        <v>600</v>
      </c>
    </row>
    <row r="8" spans="1:10" ht="12.6" customHeight="1" x14ac:dyDescent="0.3">
      <c r="A8" s="26"/>
      <c r="B8" s="3" t="s">
        <v>9</v>
      </c>
      <c r="C8" s="11">
        <v>1</v>
      </c>
      <c r="D8" s="3" t="s">
        <v>6</v>
      </c>
      <c r="E8" s="29"/>
      <c r="I8" s="10" t="s">
        <v>10</v>
      </c>
      <c r="J8" s="7">
        <v>333</v>
      </c>
    </row>
    <row r="9" spans="1:10" ht="12.6" customHeight="1" thickBot="1" x14ac:dyDescent="0.35">
      <c r="A9" s="27"/>
      <c r="B9" s="12" t="s">
        <v>11</v>
      </c>
      <c r="C9" s="13">
        <v>2</v>
      </c>
      <c r="D9" s="12" t="s">
        <v>6</v>
      </c>
      <c r="E9" s="30"/>
      <c r="I9" s="14" t="s">
        <v>12</v>
      </c>
      <c r="J9" s="7">
        <v>547</v>
      </c>
    </row>
    <row r="10" spans="1:10" ht="12.6" customHeight="1" x14ac:dyDescent="0.3">
      <c r="A10" s="25" t="s">
        <v>13</v>
      </c>
      <c r="B10" s="8" t="s">
        <v>8</v>
      </c>
      <c r="C10" s="9">
        <v>1</v>
      </c>
      <c r="D10" s="8" t="s">
        <v>6</v>
      </c>
      <c r="E10" s="28">
        <f>J7+J9+J10+J11*2</f>
        <v>2741</v>
      </c>
      <c r="I10" s="10" t="s">
        <v>14</v>
      </c>
      <c r="J10" s="7">
        <v>794</v>
      </c>
    </row>
    <row r="11" spans="1:10" ht="12.6" customHeight="1" x14ac:dyDescent="0.3">
      <c r="A11" s="26"/>
      <c r="B11" s="3" t="s">
        <v>7</v>
      </c>
      <c r="C11" s="11">
        <v>1</v>
      </c>
      <c r="D11" s="3" t="s">
        <v>6</v>
      </c>
      <c r="E11" s="29"/>
      <c r="I11" s="10" t="s">
        <v>15</v>
      </c>
      <c r="J11" s="7">
        <v>400</v>
      </c>
    </row>
    <row r="12" spans="1:10" ht="12.6" customHeight="1" x14ac:dyDescent="0.3">
      <c r="A12" s="26"/>
      <c r="B12" s="3" t="s">
        <v>9</v>
      </c>
      <c r="C12" s="11">
        <v>1</v>
      </c>
      <c r="D12" s="3" t="s">
        <v>6</v>
      </c>
      <c r="E12" s="29"/>
      <c r="I12" s="10" t="s">
        <v>16</v>
      </c>
      <c r="J12" s="7">
        <v>390</v>
      </c>
    </row>
    <row r="13" spans="1:10" ht="12.6" customHeight="1" thickBot="1" x14ac:dyDescent="0.35">
      <c r="A13" s="27"/>
      <c r="B13" s="12" t="s">
        <v>11</v>
      </c>
      <c r="C13" s="13">
        <v>2</v>
      </c>
      <c r="D13" s="12" t="s">
        <v>6</v>
      </c>
      <c r="E13" s="30"/>
      <c r="I13" s="15" t="s">
        <v>17</v>
      </c>
      <c r="J13" s="7">
        <v>505</v>
      </c>
    </row>
    <row r="14" spans="1:10" ht="12.6" customHeight="1" x14ac:dyDescent="0.3">
      <c r="A14" s="31" t="s">
        <v>18</v>
      </c>
      <c r="B14" s="8" t="s">
        <v>5</v>
      </c>
      <c r="C14" s="9">
        <v>1</v>
      </c>
      <c r="D14" s="8" t="s">
        <v>6</v>
      </c>
      <c r="E14" s="28">
        <f>J6+J9+J10+J13+J11*2</f>
        <v>3112</v>
      </c>
      <c r="I14" s="15" t="s">
        <v>19</v>
      </c>
      <c r="J14" s="7">
        <v>103</v>
      </c>
    </row>
    <row r="15" spans="1:10" ht="12.6" customHeight="1" x14ac:dyDescent="0.3">
      <c r="A15" s="32"/>
      <c r="B15" s="3" t="s">
        <v>7</v>
      </c>
      <c r="C15" s="11">
        <v>1</v>
      </c>
      <c r="D15" s="3" t="s">
        <v>6</v>
      </c>
      <c r="E15" s="29"/>
      <c r="I15" s="15" t="s">
        <v>20</v>
      </c>
      <c r="J15" s="7">
        <v>98</v>
      </c>
    </row>
    <row r="16" spans="1:10" ht="12.6" customHeight="1" x14ac:dyDescent="0.3">
      <c r="A16" s="32"/>
      <c r="B16" s="3" t="s">
        <v>9</v>
      </c>
      <c r="C16" s="11">
        <v>1</v>
      </c>
      <c r="D16" s="3" t="s">
        <v>6</v>
      </c>
      <c r="E16" s="29"/>
      <c r="I16" s="16" t="s">
        <v>21</v>
      </c>
      <c r="J16" s="7">
        <v>97</v>
      </c>
    </row>
    <row r="17" spans="1:10" ht="12.6" customHeight="1" x14ac:dyDescent="0.3">
      <c r="A17" s="32"/>
      <c r="B17" s="3" t="s">
        <v>11</v>
      </c>
      <c r="C17" s="11">
        <v>2</v>
      </c>
      <c r="D17" s="3" t="s">
        <v>6</v>
      </c>
      <c r="E17" s="29"/>
      <c r="I17" s="15" t="s">
        <v>22</v>
      </c>
      <c r="J17" s="7">
        <v>205</v>
      </c>
    </row>
    <row r="18" spans="1:10" ht="12.6" customHeight="1" thickBot="1" x14ac:dyDescent="0.35">
      <c r="A18" s="33"/>
      <c r="B18" s="17" t="s">
        <v>23</v>
      </c>
      <c r="C18" s="13">
        <v>1</v>
      </c>
      <c r="D18" s="12" t="s">
        <v>6</v>
      </c>
      <c r="E18" s="30"/>
      <c r="I18" s="10" t="s">
        <v>24</v>
      </c>
      <c r="J18" s="7">
        <v>200</v>
      </c>
    </row>
    <row r="19" spans="1:10" ht="12.6" customHeight="1" x14ac:dyDescent="0.3">
      <c r="A19" s="31" t="s">
        <v>25</v>
      </c>
      <c r="B19" s="8" t="s">
        <v>8</v>
      </c>
      <c r="C19" s="9">
        <v>1</v>
      </c>
      <c r="D19" s="8" t="s">
        <v>6</v>
      </c>
      <c r="E19" s="28">
        <f>J7+J9+J10+J13+J11*2</f>
        <v>3246</v>
      </c>
      <c r="I19" s="15" t="s">
        <v>26</v>
      </c>
      <c r="J19" s="7">
        <v>192</v>
      </c>
    </row>
    <row r="20" spans="1:10" ht="12.6" customHeight="1" x14ac:dyDescent="0.35">
      <c r="A20" s="32"/>
      <c r="B20" s="3" t="s">
        <v>7</v>
      </c>
      <c r="C20" s="11">
        <v>1</v>
      </c>
      <c r="D20" s="3" t="s">
        <v>6</v>
      </c>
      <c r="E20" s="29"/>
      <c r="I20" s="18" t="s">
        <v>27</v>
      </c>
      <c r="J20" s="7"/>
    </row>
    <row r="21" spans="1:10" ht="12.6" customHeight="1" x14ac:dyDescent="0.3">
      <c r="A21" s="32"/>
      <c r="B21" s="3" t="s">
        <v>9</v>
      </c>
      <c r="C21" s="11">
        <v>1</v>
      </c>
      <c r="D21" s="3" t="s">
        <v>6</v>
      </c>
      <c r="E21" s="29"/>
      <c r="I21" s="10" t="s">
        <v>28</v>
      </c>
      <c r="J21" s="7">
        <v>505</v>
      </c>
    </row>
    <row r="22" spans="1:10" ht="12.6" customHeight="1" x14ac:dyDescent="0.3">
      <c r="A22" s="32"/>
      <c r="B22" s="3" t="s">
        <v>11</v>
      </c>
      <c r="C22" s="11">
        <v>2</v>
      </c>
      <c r="D22" s="3" t="s">
        <v>6</v>
      </c>
      <c r="E22" s="29"/>
      <c r="I22" s="10" t="s">
        <v>29</v>
      </c>
      <c r="J22" s="7">
        <v>655</v>
      </c>
    </row>
    <row r="23" spans="1:10" ht="12.6" customHeight="1" thickBot="1" x14ac:dyDescent="0.35">
      <c r="A23" s="33"/>
      <c r="B23" s="17" t="s">
        <v>23</v>
      </c>
      <c r="C23" s="13">
        <v>1</v>
      </c>
      <c r="D23" s="12" t="s">
        <v>6</v>
      </c>
      <c r="E23" s="30"/>
      <c r="I23" s="10" t="s">
        <v>30</v>
      </c>
      <c r="J23" s="7">
        <v>346</v>
      </c>
    </row>
    <row r="24" spans="1:10" ht="12.6" customHeight="1" x14ac:dyDescent="0.3">
      <c r="A24" s="31" t="s">
        <v>31</v>
      </c>
      <c r="B24" s="8" t="s">
        <v>5</v>
      </c>
      <c r="C24" s="9">
        <v>1</v>
      </c>
      <c r="D24" s="8" t="s">
        <v>6</v>
      </c>
      <c r="E24" s="28">
        <f>J6+J9+J10*2</f>
        <v>2601</v>
      </c>
      <c r="I24" s="10" t="s">
        <v>32</v>
      </c>
      <c r="J24" s="7">
        <v>574</v>
      </c>
    </row>
    <row r="25" spans="1:10" ht="12.6" customHeight="1" x14ac:dyDescent="0.3">
      <c r="A25" s="32"/>
      <c r="B25" s="3" t="s">
        <v>7</v>
      </c>
      <c r="C25" s="11">
        <v>1</v>
      </c>
      <c r="D25" s="3" t="s">
        <v>6</v>
      </c>
      <c r="E25" s="29"/>
      <c r="I25" s="10" t="s">
        <v>33</v>
      </c>
      <c r="J25" s="7">
        <v>870</v>
      </c>
    </row>
    <row r="26" spans="1:10" ht="12.6" customHeight="1" thickBot="1" x14ac:dyDescent="0.35">
      <c r="A26" s="33"/>
      <c r="B26" s="12" t="s">
        <v>9</v>
      </c>
      <c r="C26" s="13">
        <v>2</v>
      </c>
      <c r="D26" s="12" t="s">
        <v>6</v>
      </c>
      <c r="E26" s="30"/>
      <c r="I26" s="10" t="s">
        <v>34</v>
      </c>
      <c r="J26" s="7">
        <v>860</v>
      </c>
    </row>
    <row r="27" spans="1:10" ht="12.6" customHeight="1" x14ac:dyDescent="0.3">
      <c r="A27" s="34" t="s">
        <v>35</v>
      </c>
      <c r="B27" s="19" t="s">
        <v>8</v>
      </c>
      <c r="C27" s="20">
        <v>1</v>
      </c>
      <c r="D27" s="19" t="s">
        <v>6</v>
      </c>
      <c r="E27" s="28">
        <f>J7+J9+J10*2</f>
        <v>2735</v>
      </c>
      <c r="I27" s="10" t="s">
        <v>36</v>
      </c>
      <c r="J27" s="7">
        <v>444</v>
      </c>
    </row>
    <row r="28" spans="1:10" ht="12.6" customHeight="1" x14ac:dyDescent="0.3">
      <c r="A28" s="32"/>
      <c r="B28" s="3" t="s">
        <v>7</v>
      </c>
      <c r="C28" s="11">
        <v>1</v>
      </c>
      <c r="D28" s="3" t="s">
        <v>6</v>
      </c>
      <c r="E28" s="29"/>
      <c r="I28" s="10" t="s">
        <v>37</v>
      </c>
      <c r="J28" s="7">
        <v>432</v>
      </c>
    </row>
    <row r="29" spans="1:10" ht="12.6" customHeight="1" thickBot="1" x14ac:dyDescent="0.35">
      <c r="A29" s="35"/>
      <c r="B29" s="21" t="s">
        <v>9</v>
      </c>
      <c r="C29" s="22">
        <v>2</v>
      </c>
      <c r="D29" s="21" t="s">
        <v>6</v>
      </c>
      <c r="E29" s="30"/>
      <c r="I29" s="15" t="s">
        <v>38</v>
      </c>
      <c r="J29" s="7">
        <v>550</v>
      </c>
    </row>
    <row r="30" spans="1:10" ht="12.6" customHeight="1" x14ac:dyDescent="0.3">
      <c r="A30" s="31" t="s">
        <v>39</v>
      </c>
      <c r="B30" s="8" t="s">
        <v>5</v>
      </c>
      <c r="C30" s="9">
        <v>1</v>
      </c>
      <c r="D30" s="8" t="s">
        <v>6</v>
      </c>
      <c r="E30" s="28">
        <f>J6+J9+J13+J10*2</f>
        <v>3106</v>
      </c>
      <c r="I30" s="15" t="s">
        <v>40</v>
      </c>
      <c r="J30" s="7">
        <v>120</v>
      </c>
    </row>
    <row r="31" spans="1:10" ht="12.6" customHeight="1" x14ac:dyDescent="0.3">
      <c r="A31" s="32"/>
      <c r="B31" s="3" t="s">
        <v>7</v>
      </c>
      <c r="C31" s="11">
        <v>1</v>
      </c>
      <c r="D31" s="3" t="s">
        <v>6</v>
      </c>
      <c r="E31" s="29"/>
      <c r="I31" s="15" t="s">
        <v>41</v>
      </c>
      <c r="J31" s="7">
        <v>114</v>
      </c>
    </row>
    <row r="32" spans="1:10" ht="12.6" customHeight="1" x14ac:dyDescent="0.3">
      <c r="A32" s="32"/>
      <c r="B32" s="3" t="s">
        <v>9</v>
      </c>
      <c r="C32" s="11">
        <v>2</v>
      </c>
      <c r="D32" s="3" t="s">
        <v>6</v>
      </c>
      <c r="E32" s="29"/>
      <c r="I32" s="15" t="s">
        <v>42</v>
      </c>
      <c r="J32" s="7">
        <v>102</v>
      </c>
    </row>
    <row r="33" spans="1:10" ht="12.6" customHeight="1" thickBot="1" x14ac:dyDescent="0.35">
      <c r="A33" s="33"/>
      <c r="B33" s="12" t="s">
        <v>23</v>
      </c>
      <c r="C33" s="13">
        <v>1</v>
      </c>
      <c r="D33" s="12" t="s">
        <v>6</v>
      </c>
      <c r="E33" s="30"/>
      <c r="I33" s="15" t="s">
        <v>43</v>
      </c>
      <c r="J33" s="7">
        <v>235</v>
      </c>
    </row>
    <row r="34" spans="1:10" ht="12.6" customHeight="1" x14ac:dyDescent="0.3">
      <c r="A34" s="31" t="s">
        <v>44</v>
      </c>
      <c r="B34" s="8" t="s">
        <v>8</v>
      </c>
      <c r="C34" s="9">
        <v>1</v>
      </c>
      <c r="D34" s="8" t="s">
        <v>6</v>
      </c>
      <c r="E34" s="28">
        <f>J7+J9+J13+J10*2</f>
        <v>3240</v>
      </c>
      <c r="I34" s="10" t="s">
        <v>45</v>
      </c>
      <c r="J34" s="7">
        <v>230</v>
      </c>
    </row>
    <row r="35" spans="1:10" ht="12.6" customHeight="1" x14ac:dyDescent="0.3">
      <c r="A35" s="32"/>
      <c r="B35" s="3" t="s">
        <v>7</v>
      </c>
      <c r="C35" s="11">
        <v>1</v>
      </c>
      <c r="D35" s="3" t="s">
        <v>6</v>
      </c>
      <c r="E35" s="29"/>
      <c r="I35" s="15" t="s">
        <v>46</v>
      </c>
      <c r="J35" s="7">
        <v>200</v>
      </c>
    </row>
    <row r="36" spans="1:10" ht="12.6" customHeight="1" x14ac:dyDescent="0.35">
      <c r="A36" s="32"/>
      <c r="B36" s="3" t="s">
        <v>9</v>
      </c>
      <c r="C36" s="11">
        <v>2</v>
      </c>
      <c r="D36" s="3" t="s">
        <v>6</v>
      </c>
      <c r="E36" s="29"/>
      <c r="I36" s="18" t="s">
        <v>47</v>
      </c>
      <c r="J36" s="7"/>
    </row>
    <row r="37" spans="1:10" ht="12.6" customHeight="1" thickBot="1" x14ac:dyDescent="0.35">
      <c r="A37" s="33"/>
      <c r="B37" s="12" t="s">
        <v>23</v>
      </c>
      <c r="C37" s="13">
        <v>1</v>
      </c>
      <c r="D37" s="12" t="s">
        <v>6</v>
      </c>
      <c r="E37" s="30"/>
      <c r="I37" s="10" t="s">
        <v>48</v>
      </c>
      <c r="J37" s="7">
        <v>578</v>
      </c>
    </row>
    <row r="38" spans="1:10" ht="21.6" thickBot="1" x14ac:dyDescent="0.45">
      <c r="A38" s="5" t="s">
        <v>49</v>
      </c>
      <c r="I38" s="10" t="s">
        <v>50</v>
      </c>
      <c r="J38" s="7">
        <v>733</v>
      </c>
    </row>
    <row r="39" spans="1:10" ht="12.6" customHeight="1" x14ac:dyDescent="0.3">
      <c r="A39" s="25" t="s">
        <v>4</v>
      </c>
      <c r="B39" s="8" t="s">
        <v>28</v>
      </c>
      <c r="C39" s="9">
        <v>1</v>
      </c>
      <c r="D39" s="8" t="s">
        <v>6</v>
      </c>
      <c r="E39" s="28">
        <f>J21+J24+J25+J27*2</f>
        <v>2837</v>
      </c>
      <c r="I39" s="10" t="s">
        <v>51</v>
      </c>
      <c r="J39" s="7">
        <v>420</v>
      </c>
    </row>
    <row r="40" spans="1:10" ht="12.6" customHeight="1" x14ac:dyDescent="0.3">
      <c r="A40" s="26"/>
      <c r="B40" s="3" t="s">
        <v>7</v>
      </c>
      <c r="C40" s="11">
        <v>1</v>
      </c>
      <c r="D40" s="3" t="s">
        <v>6</v>
      </c>
      <c r="E40" s="29"/>
      <c r="I40" s="10" t="s">
        <v>52</v>
      </c>
      <c r="J40" s="7">
        <v>740</v>
      </c>
    </row>
    <row r="41" spans="1:10" ht="12.6" customHeight="1" x14ac:dyDescent="0.3">
      <c r="A41" s="26"/>
      <c r="B41" s="3" t="s">
        <v>9</v>
      </c>
      <c r="C41" s="11">
        <v>1</v>
      </c>
      <c r="D41" s="3" t="s">
        <v>6</v>
      </c>
      <c r="E41" s="29"/>
      <c r="I41" s="10" t="s">
        <v>53</v>
      </c>
      <c r="J41" s="7">
        <v>948</v>
      </c>
    </row>
    <row r="42" spans="1:10" ht="12.6" customHeight="1" thickBot="1" x14ac:dyDescent="0.35">
      <c r="A42" s="27"/>
      <c r="B42" s="12" t="s">
        <v>11</v>
      </c>
      <c r="C42" s="13">
        <v>2</v>
      </c>
      <c r="D42" s="12" t="s">
        <v>6</v>
      </c>
      <c r="E42" s="30"/>
      <c r="I42" s="10" t="s">
        <v>54</v>
      </c>
      <c r="J42" s="7">
        <v>934</v>
      </c>
    </row>
    <row r="43" spans="1:10" ht="12.6" customHeight="1" x14ac:dyDescent="0.3">
      <c r="A43" s="25" t="s">
        <v>13</v>
      </c>
      <c r="B43" s="8" t="s">
        <v>29</v>
      </c>
      <c r="C43" s="9">
        <v>1</v>
      </c>
      <c r="D43" s="8" t="s">
        <v>6</v>
      </c>
      <c r="E43" s="28">
        <f>J22+J24+J25+J27*2</f>
        <v>2987</v>
      </c>
      <c r="I43" s="10" t="s">
        <v>55</v>
      </c>
      <c r="J43" s="7">
        <v>482</v>
      </c>
    </row>
    <row r="44" spans="1:10" ht="12.6" customHeight="1" x14ac:dyDescent="0.3">
      <c r="A44" s="26"/>
      <c r="B44" s="3" t="s">
        <v>7</v>
      </c>
      <c r="C44" s="11">
        <v>1</v>
      </c>
      <c r="D44" s="3" t="s">
        <v>6</v>
      </c>
      <c r="E44" s="29"/>
      <c r="I44" s="10" t="s">
        <v>56</v>
      </c>
      <c r="J44" s="7">
        <v>470</v>
      </c>
    </row>
    <row r="45" spans="1:10" ht="12.6" customHeight="1" x14ac:dyDescent="0.3">
      <c r="A45" s="26"/>
      <c r="B45" s="3" t="s">
        <v>9</v>
      </c>
      <c r="C45" s="11">
        <v>1</v>
      </c>
      <c r="D45" s="3" t="s">
        <v>6</v>
      </c>
      <c r="E45" s="29"/>
      <c r="I45" s="15" t="s">
        <v>57</v>
      </c>
      <c r="J45" s="7">
        <v>644</v>
      </c>
    </row>
    <row r="46" spans="1:10" ht="12.6" customHeight="1" thickBot="1" x14ac:dyDescent="0.35">
      <c r="A46" s="27"/>
      <c r="B46" s="12" t="s">
        <v>11</v>
      </c>
      <c r="C46" s="13">
        <v>2</v>
      </c>
      <c r="D46" s="12" t="s">
        <v>6</v>
      </c>
      <c r="E46" s="30"/>
      <c r="I46" s="15" t="s">
        <v>58</v>
      </c>
      <c r="J46" s="7">
        <v>139</v>
      </c>
    </row>
    <row r="47" spans="1:10" ht="12.6" customHeight="1" x14ac:dyDescent="0.3">
      <c r="A47" s="31" t="s">
        <v>18</v>
      </c>
      <c r="B47" s="8" t="s">
        <v>28</v>
      </c>
      <c r="C47" s="9">
        <v>1</v>
      </c>
      <c r="D47" s="8" t="s">
        <v>6</v>
      </c>
      <c r="E47" s="28">
        <f>J21+J24+J25+J29+J27*2</f>
        <v>3387</v>
      </c>
      <c r="I47" s="15" t="s">
        <v>59</v>
      </c>
      <c r="J47" s="7">
        <v>133</v>
      </c>
    </row>
    <row r="48" spans="1:10" ht="12.6" customHeight="1" x14ac:dyDescent="0.3">
      <c r="A48" s="32"/>
      <c r="B48" s="3" t="s">
        <v>7</v>
      </c>
      <c r="C48" s="11">
        <v>1</v>
      </c>
      <c r="D48" s="3" t="s">
        <v>6</v>
      </c>
      <c r="E48" s="29"/>
      <c r="I48" s="16" t="s">
        <v>42</v>
      </c>
      <c r="J48" s="7">
        <v>102</v>
      </c>
    </row>
    <row r="49" spans="1:10" ht="12.6" customHeight="1" x14ac:dyDescent="0.3">
      <c r="A49" s="32"/>
      <c r="B49" s="3" t="s">
        <v>9</v>
      </c>
      <c r="C49" s="11">
        <v>1</v>
      </c>
      <c r="D49" s="3" t="s">
        <v>6</v>
      </c>
      <c r="E49" s="29"/>
      <c r="I49" s="15" t="s">
        <v>60</v>
      </c>
      <c r="J49" s="7">
        <v>274</v>
      </c>
    </row>
    <row r="50" spans="1:10" ht="12.6" customHeight="1" x14ac:dyDescent="0.3">
      <c r="A50" s="32"/>
      <c r="B50" s="3" t="s">
        <v>11</v>
      </c>
      <c r="C50" s="11">
        <v>2</v>
      </c>
      <c r="D50" s="3" t="s">
        <v>6</v>
      </c>
      <c r="E50" s="29"/>
      <c r="I50" s="10" t="s">
        <v>61</v>
      </c>
      <c r="J50" s="7">
        <v>267</v>
      </c>
    </row>
    <row r="51" spans="1:10" ht="12.6" customHeight="1" thickBot="1" x14ac:dyDescent="0.35">
      <c r="A51" s="33"/>
      <c r="B51" s="17" t="s">
        <v>23</v>
      </c>
      <c r="C51" s="13">
        <v>1</v>
      </c>
      <c r="D51" s="12" t="s">
        <v>6</v>
      </c>
      <c r="E51" s="30"/>
      <c r="I51" s="15" t="s">
        <v>46</v>
      </c>
      <c r="J51" s="7">
        <v>200</v>
      </c>
    </row>
    <row r="52" spans="1:10" ht="12.6" customHeight="1" x14ac:dyDescent="0.35">
      <c r="A52" s="31" t="s">
        <v>25</v>
      </c>
      <c r="B52" s="8" t="s">
        <v>29</v>
      </c>
      <c r="C52" s="9">
        <v>1</v>
      </c>
      <c r="D52" s="8" t="s">
        <v>6</v>
      </c>
      <c r="E52" s="28">
        <f>J22+J24+J25+J29+J27*2</f>
        <v>3537</v>
      </c>
      <c r="I52" s="23" t="s">
        <v>62</v>
      </c>
      <c r="J52" s="7"/>
    </row>
    <row r="53" spans="1:10" ht="12.6" customHeight="1" x14ac:dyDescent="0.3">
      <c r="A53" s="32"/>
      <c r="B53" s="3" t="s">
        <v>7</v>
      </c>
      <c r="C53" s="11">
        <v>1</v>
      </c>
      <c r="D53" s="3" t="s">
        <v>6</v>
      </c>
      <c r="E53" s="29"/>
      <c r="I53" s="15" t="s">
        <v>63</v>
      </c>
      <c r="J53" s="7">
        <v>92</v>
      </c>
    </row>
    <row r="54" spans="1:10" ht="12.6" customHeight="1" x14ac:dyDescent="0.3">
      <c r="A54" s="32"/>
      <c r="B54" s="3" t="s">
        <v>9</v>
      </c>
      <c r="C54" s="11">
        <v>1</v>
      </c>
      <c r="D54" s="3" t="s">
        <v>6</v>
      </c>
      <c r="E54" s="29"/>
      <c r="I54" s="10" t="s">
        <v>64</v>
      </c>
      <c r="J54" s="7">
        <v>38</v>
      </c>
    </row>
    <row r="55" spans="1:10" ht="12.6" customHeight="1" x14ac:dyDescent="0.3">
      <c r="A55" s="32"/>
      <c r="B55" s="3" t="s">
        <v>11</v>
      </c>
      <c r="C55" s="11">
        <v>2</v>
      </c>
      <c r="D55" s="3" t="s">
        <v>6</v>
      </c>
      <c r="E55" s="29"/>
      <c r="I55" s="10" t="s">
        <v>65</v>
      </c>
      <c r="J55" s="7">
        <v>70</v>
      </c>
    </row>
    <row r="56" spans="1:10" ht="12.6" customHeight="1" thickBot="1" x14ac:dyDescent="0.35">
      <c r="A56" s="33"/>
      <c r="B56" s="17" t="s">
        <v>23</v>
      </c>
      <c r="C56" s="13">
        <v>1</v>
      </c>
      <c r="D56" s="12" t="s">
        <v>6</v>
      </c>
      <c r="E56" s="30"/>
      <c r="I56" s="10" t="s">
        <v>66</v>
      </c>
      <c r="J56" s="7">
        <v>118</v>
      </c>
    </row>
    <row r="57" spans="1:10" ht="12.6" customHeight="1" x14ac:dyDescent="0.3">
      <c r="A57" s="31" t="s">
        <v>31</v>
      </c>
      <c r="B57" s="8" t="s">
        <v>28</v>
      </c>
      <c r="C57" s="9">
        <v>1</v>
      </c>
      <c r="D57" s="8" t="s">
        <v>6</v>
      </c>
      <c r="E57" s="28">
        <f>J21+J24+J25*2</f>
        <v>2819</v>
      </c>
      <c r="I57" s="15" t="s">
        <v>67</v>
      </c>
      <c r="J57" s="7">
        <v>69</v>
      </c>
    </row>
    <row r="58" spans="1:10" ht="12.6" customHeight="1" x14ac:dyDescent="0.3">
      <c r="A58" s="32"/>
      <c r="B58" s="3" t="s">
        <v>7</v>
      </c>
      <c r="C58" s="11">
        <v>1</v>
      </c>
      <c r="D58" s="3" t="s">
        <v>6</v>
      </c>
      <c r="E58" s="29"/>
      <c r="I58" s="15" t="s">
        <v>68</v>
      </c>
      <c r="J58" s="7">
        <v>158</v>
      </c>
    </row>
    <row r="59" spans="1:10" ht="12.6" customHeight="1" thickBot="1" x14ac:dyDescent="0.35">
      <c r="A59" s="33"/>
      <c r="B59" s="12" t="s">
        <v>9</v>
      </c>
      <c r="C59" s="13">
        <v>2</v>
      </c>
      <c r="D59" s="12" t="s">
        <v>6</v>
      </c>
      <c r="E59" s="30"/>
      <c r="I59" s="15" t="s">
        <v>69</v>
      </c>
      <c r="J59" s="7">
        <v>202</v>
      </c>
    </row>
    <row r="60" spans="1:10" ht="12.6" customHeight="1" x14ac:dyDescent="0.3">
      <c r="A60" s="34" t="s">
        <v>35</v>
      </c>
      <c r="B60" s="19" t="s">
        <v>29</v>
      </c>
      <c r="C60" s="20">
        <v>1</v>
      </c>
      <c r="D60" s="19" t="s">
        <v>6</v>
      </c>
      <c r="E60" s="37">
        <f>J22+J24+J25*2</f>
        <v>2969</v>
      </c>
      <c r="I60" s="15" t="s">
        <v>70</v>
      </c>
      <c r="J60" s="7">
        <v>78</v>
      </c>
    </row>
    <row r="61" spans="1:10" ht="12.6" customHeight="1" x14ac:dyDescent="0.3">
      <c r="A61" s="32"/>
      <c r="B61" s="3" t="s">
        <v>7</v>
      </c>
      <c r="C61" s="11">
        <v>1</v>
      </c>
      <c r="D61" s="3" t="s">
        <v>6</v>
      </c>
      <c r="E61" s="29"/>
    </row>
    <row r="62" spans="1:10" ht="12.6" customHeight="1" thickBot="1" x14ac:dyDescent="0.35">
      <c r="A62" s="35"/>
      <c r="B62" s="21" t="s">
        <v>9</v>
      </c>
      <c r="C62" s="22">
        <v>2</v>
      </c>
      <c r="D62" s="21" t="s">
        <v>6</v>
      </c>
      <c r="E62" s="38"/>
    </row>
    <row r="63" spans="1:10" ht="12.6" customHeight="1" x14ac:dyDescent="0.3">
      <c r="A63" s="31" t="s">
        <v>39</v>
      </c>
      <c r="B63" s="8" t="s">
        <v>28</v>
      </c>
      <c r="C63" s="9">
        <v>1</v>
      </c>
      <c r="D63" s="8" t="s">
        <v>6</v>
      </c>
      <c r="E63" s="28">
        <f>J21+J24+J29+J25*2</f>
        <v>3369</v>
      </c>
    </row>
    <row r="64" spans="1:10" ht="12.6" customHeight="1" x14ac:dyDescent="0.3">
      <c r="A64" s="32"/>
      <c r="B64" s="3" t="s">
        <v>7</v>
      </c>
      <c r="C64" s="11">
        <v>1</v>
      </c>
      <c r="D64" s="3" t="s">
        <v>6</v>
      </c>
      <c r="E64" s="29"/>
    </row>
    <row r="65" spans="1:5" ht="12.6" customHeight="1" x14ac:dyDescent="0.3">
      <c r="A65" s="32"/>
      <c r="B65" s="3" t="s">
        <v>9</v>
      </c>
      <c r="C65" s="11">
        <v>2</v>
      </c>
      <c r="D65" s="3" t="s">
        <v>6</v>
      </c>
      <c r="E65" s="29"/>
    </row>
    <row r="66" spans="1:5" ht="12.6" customHeight="1" thickBot="1" x14ac:dyDescent="0.35">
      <c r="A66" s="33"/>
      <c r="B66" s="12" t="s">
        <v>23</v>
      </c>
      <c r="C66" s="13">
        <v>1</v>
      </c>
      <c r="D66" s="12" t="s">
        <v>6</v>
      </c>
      <c r="E66" s="30"/>
    </row>
    <row r="67" spans="1:5" ht="12.6" customHeight="1" x14ac:dyDescent="0.3">
      <c r="A67" s="31" t="s">
        <v>44</v>
      </c>
      <c r="B67" s="8" t="s">
        <v>29</v>
      </c>
      <c r="C67" s="9">
        <v>1</v>
      </c>
      <c r="D67" s="8" t="s">
        <v>6</v>
      </c>
      <c r="E67" s="28">
        <f>J22+J24+J29+J25*2</f>
        <v>3519</v>
      </c>
    </row>
    <row r="68" spans="1:5" ht="12.6" customHeight="1" x14ac:dyDescent="0.3">
      <c r="A68" s="32"/>
      <c r="B68" s="3" t="s">
        <v>7</v>
      </c>
      <c r="C68" s="11">
        <v>1</v>
      </c>
      <c r="D68" s="3" t="s">
        <v>6</v>
      </c>
      <c r="E68" s="29"/>
    </row>
    <row r="69" spans="1:5" ht="12.6" customHeight="1" x14ac:dyDescent="0.3">
      <c r="A69" s="32"/>
      <c r="B69" s="3" t="s">
        <v>9</v>
      </c>
      <c r="C69" s="11">
        <v>2</v>
      </c>
      <c r="D69" s="3" t="s">
        <v>6</v>
      </c>
      <c r="E69" s="29"/>
    </row>
    <row r="70" spans="1:5" ht="12.6" customHeight="1" thickBot="1" x14ac:dyDescent="0.35">
      <c r="A70" s="33"/>
      <c r="B70" s="12" t="s">
        <v>23</v>
      </c>
      <c r="C70" s="13">
        <v>1</v>
      </c>
      <c r="D70" s="12" t="s">
        <v>6</v>
      </c>
      <c r="E70" s="30"/>
    </row>
    <row r="71" spans="1:5" ht="21.6" thickBot="1" x14ac:dyDescent="0.45">
      <c r="A71" s="5" t="s">
        <v>71</v>
      </c>
    </row>
    <row r="72" spans="1:5" ht="12.6" customHeight="1" x14ac:dyDescent="0.3">
      <c r="A72" s="25" t="s">
        <v>4</v>
      </c>
      <c r="B72" s="8" t="s">
        <v>48</v>
      </c>
      <c r="C72" s="9">
        <v>1</v>
      </c>
      <c r="D72" s="8" t="s">
        <v>6</v>
      </c>
      <c r="E72" s="28">
        <f>J37+J40+J41+J43*2</f>
        <v>3230</v>
      </c>
    </row>
    <row r="73" spans="1:5" ht="12.6" customHeight="1" x14ac:dyDescent="0.3">
      <c r="A73" s="26"/>
      <c r="B73" s="3" t="s">
        <v>7</v>
      </c>
      <c r="C73" s="11">
        <v>1</v>
      </c>
      <c r="D73" s="3" t="s">
        <v>6</v>
      </c>
      <c r="E73" s="29"/>
    </row>
    <row r="74" spans="1:5" ht="12.6" customHeight="1" x14ac:dyDescent="0.3">
      <c r="A74" s="26"/>
      <c r="B74" s="3" t="s">
        <v>9</v>
      </c>
      <c r="C74" s="11">
        <v>1</v>
      </c>
      <c r="D74" s="3" t="s">
        <v>6</v>
      </c>
      <c r="E74" s="29"/>
    </row>
    <row r="75" spans="1:5" ht="12.6" customHeight="1" thickBot="1" x14ac:dyDescent="0.35">
      <c r="A75" s="27"/>
      <c r="B75" s="12" t="s">
        <v>11</v>
      </c>
      <c r="C75" s="13">
        <v>2</v>
      </c>
      <c r="D75" s="12" t="s">
        <v>6</v>
      </c>
      <c r="E75" s="30"/>
    </row>
    <row r="76" spans="1:5" ht="12.6" customHeight="1" x14ac:dyDescent="0.3">
      <c r="A76" s="25" t="s">
        <v>13</v>
      </c>
      <c r="B76" s="8" t="s">
        <v>50</v>
      </c>
      <c r="C76" s="9">
        <v>1</v>
      </c>
      <c r="D76" s="8" t="s">
        <v>6</v>
      </c>
      <c r="E76" s="28">
        <f>J38+J40+J41+J43*2</f>
        <v>3385</v>
      </c>
    </row>
    <row r="77" spans="1:5" ht="12.6" customHeight="1" x14ac:dyDescent="0.3">
      <c r="A77" s="26"/>
      <c r="B77" s="3" t="s">
        <v>7</v>
      </c>
      <c r="C77" s="11">
        <v>1</v>
      </c>
      <c r="D77" s="3" t="s">
        <v>6</v>
      </c>
      <c r="E77" s="29"/>
    </row>
    <row r="78" spans="1:5" ht="12.6" customHeight="1" x14ac:dyDescent="0.3">
      <c r="A78" s="26"/>
      <c r="B78" s="3" t="s">
        <v>9</v>
      </c>
      <c r="C78" s="11">
        <v>1</v>
      </c>
      <c r="D78" s="3" t="s">
        <v>6</v>
      </c>
      <c r="E78" s="29"/>
    </row>
    <row r="79" spans="1:5" ht="12.6" customHeight="1" thickBot="1" x14ac:dyDescent="0.35">
      <c r="A79" s="27"/>
      <c r="B79" s="12" t="s">
        <v>11</v>
      </c>
      <c r="C79" s="13">
        <v>2</v>
      </c>
      <c r="D79" s="12" t="s">
        <v>6</v>
      </c>
      <c r="E79" s="30"/>
    </row>
    <row r="80" spans="1:5" ht="12.6" customHeight="1" x14ac:dyDescent="0.3">
      <c r="A80" s="31" t="s">
        <v>18</v>
      </c>
      <c r="B80" s="8" t="s">
        <v>48</v>
      </c>
      <c r="C80" s="9">
        <v>1</v>
      </c>
      <c r="D80" s="8" t="s">
        <v>6</v>
      </c>
      <c r="E80" s="28">
        <f>J37+J40+J41+J45+J43*2</f>
        <v>3874</v>
      </c>
    </row>
    <row r="81" spans="1:5" ht="12.6" customHeight="1" x14ac:dyDescent="0.3">
      <c r="A81" s="32"/>
      <c r="B81" s="3" t="s">
        <v>7</v>
      </c>
      <c r="C81" s="11">
        <v>1</v>
      </c>
      <c r="D81" s="3" t="s">
        <v>6</v>
      </c>
      <c r="E81" s="29"/>
    </row>
    <row r="82" spans="1:5" ht="12.6" customHeight="1" x14ac:dyDescent="0.3">
      <c r="A82" s="32"/>
      <c r="B82" s="3" t="s">
        <v>9</v>
      </c>
      <c r="C82" s="11">
        <v>1</v>
      </c>
      <c r="D82" s="3" t="s">
        <v>6</v>
      </c>
      <c r="E82" s="29"/>
    </row>
    <row r="83" spans="1:5" ht="12.6" customHeight="1" x14ac:dyDescent="0.3">
      <c r="A83" s="32"/>
      <c r="B83" s="3" t="s">
        <v>11</v>
      </c>
      <c r="C83" s="11">
        <v>2</v>
      </c>
      <c r="D83" s="3" t="s">
        <v>6</v>
      </c>
      <c r="E83" s="29"/>
    </row>
    <row r="84" spans="1:5" ht="12.6" customHeight="1" thickBot="1" x14ac:dyDescent="0.35">
      <c r="A84" s="33"/>
      <c r="B84" s="17" t="s">
        <v>23</v>
      </c>
      <c r="C84" s="13">
        <v>1</v>
      </c>
      <c r="D84" s="12" t="s">
        <v>6</v>
      </c>
      <c r="E84" s="30"/>
    </row>
    <row r="85" spans="1:5" ht="12.6" customHeight="1" x14ac:dyDescent="0.3">
      <c r="A85" s="31" t="s">
        <v>25</v>
      </c>
      <c r="B85" s="8" t="s">
        <v>50</v>
      </c>
      <c r="C85" s="9">
        <v>1</v>
      </c>
      <c r="D85" s="8" t="s">
        <v>6</v>
      </c>
      <c r="E85" s="28">
        <f>J38+J40+J41+J45+J43*2</f>
        <v>4029</v>
      </c>
    </row>
    <row r="86" spans="1:5" ht="12.6" customHeight="1" x14ac:dyDescent="0.3">
      <c r="A86" s="32"/>
      <c r="B86" s="3" t="s">
        <v>7</v>
      </c>
      <c r="C86" s="11">
        <v>1</v>
      </c>
      <c r="D86" s="3" t="s">
        <v>6</v>
      </c>
      <c r="E86" s="29"/>
    </row>
    <row r="87" spans="1:5" ht="12.6" customHeight="1" x14ac:dyDescent="0.3">
      <c r="A87" s="32"/>
      <c r="B87" s="3" t="s">
        <v>9</v>
      </c>
      <c r="C87" s="11">
        <v>1</v>
      </c>
      <c r="D87" s="3" t="s">
        <v>6</v>
      </c>
      <c r="E87" s="29"/>
    </row>
    <row r="88" spans="1:5" ht="12.6" customHeight="1" x14ac:dyDescent="0.3">
      <c r="A88" s="32"/>
      <c r="B88" s="3" t="s">
        <v>11</v>
      </c>
      <c r="C88" s="11">
        <v>2</v>
      </c>
      <c r="D88" s="3" t="s">
        <v>6</v>
      </c>
      <c r="E88" s="29"/>
    </row>
    <row r="89" spans="1:5" ht="12.6" customHeight="1" thickBot="1" x14ac:dyDescent="0.35">
      <c r="A89" s="33"/>
      <c r="B89" s="17" t="s">
        <v>23</v>
      </c>
      <c r="C89" s="13">
        <v>1</v>
      </c>
      <c r="D89" s="12" t="s">
        <v>6</v>
      </c>
      <c r="E89" s="30"/>
    </row>
    <row r="90" spans="1:5" ht="12.6" customHeight="1" x14ac:dyDescent="0.3">
      <c r="A90" s="31" t="s">
        <v>31</v>
      </c>
      <c r="B90" s="8" t="s">
        <v>48</v>
      </c>
      <c r="C90" s="9">
        <v>1</v>
      </c>
      <c r="D90" s="8" t="s">
        <v>6</v>
      </c>
      <c r="E90" s="28">
        <f>J37+J40+J41*2</f>
        <v>3214</v>
      </c>
    </row>
    <row r="91" spans="1:5" ht="12.6" customHeight="1" x14ac:dyDescent="0.3">
      <c r="A91" s="32"/>
      <c r="B91" s="3" t="s">
        <v>7</v>
      </c>
      <c r="C91" s="11">
        <v>1</v>
      </c>
      <c r="D91" s="3" t="s">
        <v>6</v>
      </c>
      <c r="E91" s="29"/>
    </row>
    <row r="92" spans="1:5" ht="12.6" customHeight="1" thickBot="1" x14ac:dyDescent="0.35">
      <c r="A92" s="33"/>
      <c r="B92" s="12" t="s">
        <v>9</v>
      </c>
      <c r="C92" s="13">
        <v>2</v>
      </c>
      <c r="D92" s="12" t="s">
        <v>6</v>
      </c>
      <c r="E92" s="30"/>
    </row>
    <row r="93" spans="1:5" ht="12.6" customHeight="1" x14ac:dyDescent="0.3">
      <c r="A93" s="34" t="s">
        <v>35</v>
      </c>
      <c r="B93" s="19" t="s">
        <v>50</v>
      </c>
      <c r="C93" s="20">
        <v>1</v>
      </c>
      <c r="D93" s="19" t="s">
        <v>6</v>
      </c>
      <c r="E93" s="37">
        <f>J38+J40+J41*2</f>
        <v>3369</v>
      </c>
    </row>
    <row r="94" spans="1:5" ht="12.6" customHeight="1" x14ac:dyDescent="0.3">
      <c r="A94" s="32"/>
      <c r="B94" s="3" t="s">
        <v>7</v>
      </c>
      <c r="C94" s="11">
        <v>1</v>
      </c>
      <c r="D94" s="3" t="s">
        <v>6</v>
      </c>
      <c r="E94" s="29"/>
    </row>
    <row r="95" spans="1:5" ht="12.6" customHeight="1" thickBot="1" x14ac:dyDescent="0.35">
      <c r="A95" s="35"/>
      <c r="B95" s="21" t="s">
        <v>9</v>
      </c>
      <c r="C95" s="22">
        <v>2</v>
      </c>
      <c r="D95" s="21" t="s">
        <v>6</v>
      </c>
      <c r="E95" s="38"/>
    </row>
    <row r="96" spans="1:5" ht="12.6" customHeight="1" x14ac:dyDescent="0.3">
      <c r="A96" s="31" t="s">
        <v>39</v>
      </c>
      <c r="B96" s="8" t="s">
        <v>48</v>
      </c>
      <c r="C96" s="9">
        <v>1</v>
      </c>
      <c r="D96" s="8" t="s">
        <v>6</v>
      </c>
      <c r="E96" s="28">
        <f>J37+J40+J45+J41*2</f>
        <v>3858</v>
      </c>
    </row>
    <row r="97" spans="1:5" ht="12.6" customHeight="1" x14ac:dyDescent="0.3">
      <c r="A97" s="32"/>
      <c r="B97" s="3" t="s">
        <v>7</v>
      </c>
      <c r="C97" s="11">
        <v>1</v>
      </c>
      <c r="D97" s="3" t="s">
        <v>6</v>
      </c>
      <c r="E97" s="29"/>
    </row>
    <row r="98" spans="1:5" ht="12.6" customHeight="1" x14ac:dyDescent="0.3">
      <c r="A98" s="32"/>
      <c r="B98" s="3" t="s">
        <v>9</v>
      </c>
      <c r="C98" s="11">
        <v>2</v>
      </c>
      <c r="D98" s="3" t="s">
        <v>6</v>
      </c>
      <c r="E98" s="29"/>
    </row>
    <row r="99" spans="1:5" ht="12.6" customHeight="1" thickBot="1" x14ac:dyDescent="0.35">
      <c r="A99" s="33"/>
      <c r="B99" s="12" t="s">
        <v>23</v>
      </c>
      <c r="C99" s="13">
        <v>1</v>
      </c>
      <c r="D99" s="12" t="s">
        <v>6</v>
      </c>
      <c r="E99" s="30"/>
    </row>
    <row r="100" spans="1:5" ht="12.6" customHeight="1" x14ac:dyDescent="0.3">
      <c r="A100" s="31" t="s">
        <v>44</v>
      </c>
      <c r="B100" s="8" t="s">
        <v>50</v>
      </c>
      <c r="C100" s="9">
        <v>1</v>
      </c>
      <c r="D100" s="8" t="s">
        <v>6</v>
      </c>
      <c r="E100" s="28">
        <f>J38+J40+J45+J41*2</f>
        <v>4013</v>
      </c>
    </row>
    <row r="101" spans="1:5" ht="12.6" customHeight="1" x14ac:dyDescent="0.3">
      <c r="A101" s="32"/>
      <c r="B101" s="3" t="s">
        <v>7</v>
      </c>
      <c r="C101" s="11">
        <v>1</v>
      </c>
      <c r="D101" s="3" t="s">
        <v>6</v>
      </c>
      <c r="E101" s="29"/>
    </row>
    <row r="102" spans="1:5" ht="12.6" customHeight="1" x14ac:dyDescent="0.3">
      <c r="A102" s="32"/>
      <c r="B102" s="3" t="s">
        <v>9</v>
      </c>
      <c r="C102" s="11">
        <v>2</v>
      </c>
      <c r="D102" s="3" t="s">
        <v>6</v>
      </c>
      <c r="E102" s="29"/>
    </row>
    <row r="103" spans="1:5" ht="12.6" customHeight="1" thickBot="1" x14ac:dyDescent="0.35">
      <c r="A103" s="33"/>
      <c r="B103" s="12" t="s">
        <v>23</v>
      </c>
      <c r="C103" s="13">
        <v>1</v>
      </c>
      <c r="D103" s="12" t="s">
        <v>6</v>
      </c>
      <c r="E103" s="30"/>
    </row>
  </sheetData>
  <mergeCells count="49">
    <mergeCell ref="A2:E2"/>
    <mergeCell ref="A93:A95"/>
    <mergeCell ref="E93:E95"/>
    <mergeCell ref="A96:A99"/>
    <mergeCell ref="E96:E99"/>
    <mergeCell ref="A67:A70"/>
    <mergeCell ref="E67:E70"/>
    <mergeCell ref="A72:A75"/>
    <mergeCell ref="E72:E75"/>
    <mergeCell ref="A76:A79"/>
    <mergeCell ref="E76:E79"/>
    <mergeCell ref="A57:A59"/>
    <mergeCell ref="E57:E59"/>
    <mergeCell ref="A60:A62"/>
    <mergeCell ref="E60:E62"/>
    <mergeCell ref="A63:A66"/>
    <mergeCell ref="A100:A103"/>
    <mergeCell ref="E100:E103"/>
    <mergeCell ref="A80:A84"/>
    <mergeCell ref="E80:E84"/>
    <mergeCell ref="A85:A89"/>
    <mergeCell ref="E85:E89"/>
    <mergeCell ref="A90:A92"/>
    <mergeCell ref="E90:E92"/>
    <mergeCell ref="E63:E66"/>
    <mergeCell ref="A43:A46"/>
    <mergeCell ref="E43:E46"/>
    <mergeCell ref="A47:A51"/>
    <mergeCell ref="E47:E51"/>
    <mergeCell ref="A52:A56"/>
    <mergeCell ref="E52:E56"/>
    <mergeCell ref="A30:A33"/>
    <mergeCell ref="E30:E33"/>
    <mergeCell ref="A34:A37"/>
    <mergeCell ref="E34:E37"/>
    <mergeCell ref="A39:A42"/>
    <mergeCell ref="E39:E42"/>
    <mergeCell ref="A19:A23"/>
    <mergeCell ref="E19:E23"/>
    <mergeCell ref="A24:A26"/>
    <mergeCell ref="E24:E26"/>
    <mergeCell ref="A27:A29"/>
    <mergeCell ref="E27:E29"/>
    <mergeCell ref="A6:A9"/>
    <mergeCell ref="E6:E9"/>
    <mergeCell ref="A10:A13"/>
    <mergeCell ref="E10:E13"/>
    <mergeCell ref="A14:A18"/>
    <mergeCell ref="E14:E18"/>
  </mergeCells>
  <pageMargins left="0.7" right="0.7" top="0.75" bottom="0.75" header="0.3" footer="0.3"/>
  <pageSetup paperSize="9" scale="51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</dc:creator>
  <cp:lastModifiedBy>Олена</cp:lastModifiedBy>
  <cp:lastPrinted>2026-03-19T13:57:54Z</cp:lastPrinted>
  <dcterms:created xsi:type="dcterms:W3CDTF">2026-03-13T11:52:48Z</dcterms:created>
  <dcterms:modified xsi:type="dcterms:W3CDTF">2026-05-07T07:53:34Z</dcterms:modified>
</cp:coreProperties>
</file>